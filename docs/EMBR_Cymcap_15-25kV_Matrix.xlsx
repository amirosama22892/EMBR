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ymcap Matri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<sst xmlns="http://schemas.openxmlformats.org/spreadsheetml/2006/main" count="193" uniqueCount="89">
  <si>
    <t xml:space="preserve">Gridworks EMBR — Cymcap Validation Matrix</t>
  </si>
  <si>
    <t xml:space="preserve">15 kV &amp; 25 kV cable libraries · assignment worksheet</t>
  </si>
  <si>
    <t xml:space="preserve">Purpose</t>
  </si>
  <si>
    <t xml:space="preserve">EMBR v1.2 added 15 kV and 25 kV cable libraries (Southwire SPEC 81102 / 81142). These voltage classes are not in the existing 35 kV Cymcap matrix and have no CIGRE TB 880 reference case. This workbook is the assignment to cross-check EMBR's 15/25 kV ratings against Cymcap 8.1 Rev 2, mirroring the 35 kV validation approach.</t>
  </si>
  <si>
    <t xml:space="preserve">What to do</t>
  </si>
  <si>
    <t xml:space="preserve">1.  Build each scenario on the 'Cymcap Matrix' tab in Cymcap 8.1 Rev 2 using the input columns exactly as listed.</t>
  </si>
  <si>
    <t xml:space="preserve">2.  Cable = single-core Al 1350 TR-XLPE, 100% IL, 1/3 concentric neutral, touching trefoil. 15 kV = 175 mil wall; 25 kV = 260 mil.</t>
  </si>
  <si>
    <t xml:space="preserve">3.  Conductor limit 90 °C. Multi-point (solidly) bonded concentric neutral. 60 Hz.</t>
  </si>
  <si>
    <t xml:space="preserve">4.  Enter the Cymcap steady-state ampacity in the yellow 'Cymcap rating (A)' column. The Δ% and Pass/Fail columns fill in automatically.</t>
  </si>
  <si>
    <t xml:space="preserve">5.  Acceptance criterion: EMBR within ±5% of Cymcap (same as the 35 kV matrix).</t>
  </si>
  <si>
    <t xml:space="preserve">6.  Flag any scenario that fails, and note Cymcap model settings used (bonding, backfill/native split, dry-out) in the Notes column.</t>
  </si>
  <si>
    <t xml:space="preserve">Column legend</t>
  </si>
  <si>
    <t xml:space="preserve">•  Input columns (A–M): scenario definition — enter these into Cymcap. Soil resistivity is in °C·cm/W (EMBR/Cymcap convention); EMBR uses K·m/W internally = value ÷ 100.</t>
  </si>
  <si>
    <t xml:space="preserve">•  EMBR rating (A): EMBR v1.2 predicted steady-state ampacity (the physical rating, before EMBR's separate 5% design buffer). This is the comparison target.</t>
  </si>
  <si>
    <t xml:space="preserve">•  Cymcap rating (A)  [YELLOW — you fill in]: the Cymcap steady-state ampacity for the identical scenario.</t>
  </si>
  <si>
    <t xml:space="preserve">•  Δ% and Within ±5%?: computed automatically once the Cymcap value is entered.</t>
  </si>
  <si>
    <t xml:space="preserve">•  EMBR w/ 5% buffer (A): the value EMBR shows end users (rating × 0.95); shown for reference only — do NOT compare against this.</t>
  </si>
  <si>
    <t xml:space="preserve">Example (illustrative — not a real scenario)</t>
  </si>
  <si>
    <t xml:space="preserve">If EMBR rating = 330 A and you enter Cymcap = 342 A → Δ% = +3.6% → PASS (within ±5%).</t>
  </si>
  <si>
    <t xml:space="preserve">Prepared by EMBR v1.2 · engine verified against CIGRE TB 880 (33 kV) and an independent IEC 60287 recomputation for 15/25 kV.</t>
  </si>
  <si>
    <t xml:space="preserve">EMBR 15 kV / 25 kV Cymcap Validation Matrix — enter Cymcap results in the yellow column</t>
  </si>
  <si>
    <t xml:space="preserve">Scenario ID</t>
  </si>
  <si>
    <t xml:space="preserve">Voltage class (kV)</t>
  </si>
  <si>
    <t xml:space="preserve">Operating V (kV)</t>
  </si>
  <si>
    <t xml:space="preserve">Cable size</t>
  </si>
  <si>
    <t xml:space="preserve">Install</t>
  </si>
  <si>
    <t xml:space="preserve"># Circuits</t>
  </si>
  <si>
    <t xml:space="preserve">Circuit spacing (in)</t>
  </si>
  <si>
    <t xml:space="preserve">Burial depth (in)</t>
  </si>
  <si>
    <t xml:space="preserve">Soil temp (°C)</t>
  </si>
  <si>
    <t xml:space="preserve">Soil ρ native (°C·cm/W)</t>
  </si>
  <si>
    <t xml:space="preserve">Dry-out ρ (°C·cm/W)</t>
  </si>
  <si>
    <t xml:space="preserve">Dry-out zone</t>
  </si>
  <si>
    <t xml:space="preserve">Load factor</t>
  </si>
  <si>
    <t xml:space="preserve">EMBR rating (A)</t>
  </si>
  <si>
    <t xml:space="preserve">Cymcap rating (A)</t>
  </si>
  <si>
    <t xml:space="preserve">Δ%</t>
  </si>
  <si>
    <t xml:space="preserve">Within ±5%?</t>
  </si>
  <si>
    <t xml:space="preserve">EMBR w/ 5% buffer (A)</t>
  </si>
  <si>
    <t xml:space="preserve">Notes</t>
  </si>
  <si>
    <t xml:space="preserve">MV15-01</t>
  </si>
  <si>
    <t xml:space="preserve">4/0 AWG</t>
  </si>
  <si>
    <t xml:space="preserve">Direct</t>
  </si>
  <si>
    <t xml:space="preserve">Yes</t>
  </si>
  <si>
    <t xml:space="preserve">Base: direct-buried trefoil, single circuit</t>
  </si>
  <si>
    <t xml:space="preserve">MV15-02</t>
  </si>
  <si>
    <t xml:space="preserve">250 kcmil</t>
  </si>
  <si>
    <t xml:space="preserve">MV15-03</t>
  </si>
  <si>
    <t xml:space="preserve">350 kcmil</t>
  </si>
  <si>
    <t xml:space="preserve">MV15-04</t>
  </si>
  <si>
    <t xml:space="preserve">500 kcmil</t>
  </si>
  <si>
    <t xml:space="preserve">MV15-05</t>
  </si>
  <si>
    <t xml:space="preserve">750 kcmil</t>
  </si>
  <si>
    <t xml:space="preserve">MV15-06</t>
  </si>
  <si>
    <t xml:space="preserve">1000 kcmil</t>
  </si>
  <si>
    <t xml:space="preserve">MV15-07</t>
  </si>
  <si>
    <t xml:space="preserve">Conduit</t>
  </si>
  <si>
    <t xml:space="preserve">In PVC-40 conduit, single circuit</t>
  </si>
  <si>
    <t xml:space="preserve">MV15-08</t>
  </si>
  <si>
    <t xml:space="preserve">MV15-09</t>
  </si>
  <si>
    <t xml:space="preserve">MV15-10</t>
  </si>
  <si>
    <t xml:space="preserve">Two circuits, 18 in c/c, direct buried</t>
  </si>
  <si>
    <t xml:space="preserve">MV15-11</t>
  </si>
  <si>
    <t xml:space="preserve">MV15-12</t>
  </si>
  <si>
    <t xml:space="preserve">Two circuits, 12 in c/c, in conduit</t>
  </si>
  <si>
    <t xml:space="preserve">MV15-13</t>
  </si>
  <si>
    <t xml:space="preserve">High soil resistivity (120/300)</t>
  </si>
  <si>
    <t xml:space="preserve">MV15-14</t>
  </si>
  <si>
    <t xml:space="preserve">Elevated soil temperature 35 C</t>
  </si>
  <si>
    <t xml:space="preserve">MV15-15</t>
  </si>
  <si>
    <t xml:space="preserve">Deeper burial 60 in, LF 0.75</t>
  </si>
  <si>
    <t xml:space="preserve">MV25-01</t>
  </si>
  <si>
    <t xml:space="preserve">MV25-02</t>
  </si>
  <si>
    <t xml:space="preserve">MV25-03</t>
  </si>
  <si>
    <t xml:space="preserve">MV25-04</t>
  </si>
  <si>
    <t xml:space="preserve">MV25-05</t>
  </si>
  <si>
    <t xml:space="preserve">MV25-06</t>
  </si>
  <si>
    <t xml:space="preserve">MV25-07</t>
  </si>
  <si>
    <t xml:space="preserve">MV25-08</t>
  </si>
  <si>
    <t xml:space="preserve">MV25-09</t>
  </si>
  <si>
    <t xml:space="preserve">MV25-10</t>
  </si>
  <si>
    <t xml:space="preserve">MV25-11</t>
  </si>
  <si>
    <t xml:space="preserve">MV25-12</t>
  </si>
  <si>
    <t xml:space="preserve">MV25-13</t>
  </si>
  <si>
    <t xml:space="preserve">MV25-14</t>
  </si>
  <si>
    <t xml:space="preserve">MV25-15</t>
  </si>
  <si>
    <t xml:space="preserve">Scenarios: 30 (15 kV: 15, 25 kV: 15)  ·  Acceptance: |Δ%| ≤ 5%  ·  EMBR v1.2</t>
  </si>
  <si>
    <t xml:space="preserve">PASS count:</t>
  </si>
  <si>
    <t xml:space="preserve">FAIL count: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</si>
</sst>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860A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2"/>
      <color rgb="FFC8860A"/>
      <name val="Arial"/>
      <family val="0"/>
      <charset val="1"/>
    </font>
    <font>
      <sz val="10"/>
      <color rgb="FF1C1B1A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C1B1A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1C1B1A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8860A"/>
        <bgColor rgb="FFFF6600"/>
      </patternFill>
    </fill>
    <fill>
      <patternFill patternType="solid">
        <fgColor rgb="FF2C2D33"/>
        <bgColor rgb="FF1C1B1A"/>
      </patternFill>
    </fill>
    <fill>
      <patternFill patternType="solid">
        <fgColor rgb="FFFFF2CC"/>
        <bgColor rgb="FFF5F1E8"/>
      </patternFill>
    </fill>
    <fill>
      <patternFill patternType="solid">
        <fgColor rgb="FFF5F1E8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DB0"/>
      </left>
      <right style="thin">
        <color rgb="FFD9CDB0"/>
      </right>
      <top style="thin">
        <color rgb="FFD9CDB0"/>
      </top>
      <bottom style="thin">
        <color rgb="FFD9CD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DB0"/>
      <rgbColor rgb="FF808080"/>
      <rgbColor rgb="FF9999FF"/>
      <rgbColor rgb="FF993366"/>
      <rgbColor rgb="FFFFF2CC"/>
      <rgbColor rgb="FFF5F1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860A"/>
      <rgbColor rgb="FFFF6600"/>
      <rgbColor rgb="FF555555"/>
      <rgbColor rgb="FF969696"/>
      <rgbColor rgb="FF003366"/>
      <rgbColor rgb="FF339966"/>
      <rgbColor rgb="FF003300"/>
      <rgbColor rgb="FF1C1B1A"/>
      <rgbColor rgb="FF993300"/>
      <rgbColor rgb="FF993366"/>
      <rgbColor rgb="FF333399"/>
      <rgbColor rgb="FF2C2D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5.75" hidden="false" customHeight="true" outlineLevel="0" collapsed="false">
      <c r="B6" s="4" t="s">
        <v>3</v>
      </c>
    </row>
    <row r="8" customFormat="false" ht="15" hidden="false" customHeight="false" outlineLevel="0" collapsed="false">
      <c r="B8" s="3" t="s">
        <v>4</v>
      </c>
    </row>
    <row r="9" customFormat="false" ht="27.75" hidden="false" customHeight="true" outlineLevel="0" collapsed="false">
      <c r="B9" s="4" t="s">
        <v>5</v>
      </c>
    </row>
    <row r="10" customFormat="false" ht="27.75" hidden="false" customHeight="true" outlineLevel="0" collapsed="false">
      <c r="B10" s="4" t="s">
        <v>6</v>
      </c>
    </row>
    <row r="11" customFormat="false" ht="27.75" hidden="false" customHeight="true" outlineLevel="0" collapsed="false">
      <c r="B11" s="4" t="s">
        <v>7</v>
      </c>
    </row>
    <row r="12" customFormat="false" ht="27.75" hidden="false" customHeight="true" outlineLevel="0" collapsed="false">
      <c r="B12" s="4" t="s">
        <v>8</v>
      </c>
    </row>
    <row r="13" customFormat="false" ht="27.75" hidden="false" customHeight="true" outlineLevel="0" collapsed="false">
      <c r="B13" s="4" t="s">
        <v>9</v>
      </c>
    </row>
    <row r="14" customFormat="false" ht="27.75" hidden="false" customHeight="true" outlineLevel="0" collapsed="false">
      <c r="B14" s="4" t="s">
        <v>10</v>
      </c>
    </row>
    <row r="16" customFormat="false" ht="15" hidden="false" customHeight="false" outlineLevel="0" collapsed="false">
      <c r="B16" s="3" t="s">
        <v>11</v>
      </c>
    </row>
    <row r="17" customFormat="false" ht="31.5" hidden="false" customHeight="true" outlineLevel="0" collapsed="false">
      <c r="B17" s="4" t="s">
        <v>12</v>
      </c>
    </row>
    <row r="18" customFormat="false" ht="31.5" hidden="false" customHeight="true" outlineLevel="0" collapsed="false">
      <c r="B18" s="4" t="s">
        <v>13</v>
      </c>
    </row>
    <row r="19" customFormat="false" ht="31.5" hidden="false" customHeight="true" outlineLevel="0" collapsed="false">
      <c r="B19" s="4" t="s">
        <v>14</v>
      </c>
    </row>
    <row r="20" customFormat="false" ht="31.5" hidden="false" customHeight="true" outlineLevel="0" collapsed="false">
      <c r="B20" s="4" t="s">
        <v>15</v>
      </c>
    </row>
    <row r="21" customFormat="false" ht="31.5" hidden="false" customHeight="true" outlineLevel="0" collapsed="false">
      <c r="B21" s="4" t="s">
        <v>16</v>
      </c>
    </row>
    <row r="23" customFormat="false" ht="15" hidden="false" customHeight="false" outlineLevel="0" collapsed="false">
      <c r="B23" s="3" t="s">
        <v>17</v>
      </c>
    </row>
    <row r="24" customFormat="false" ht="15" hidden="false" customHeight="false" outlineLevel="0" collapsed="false">
      <c r="B24" s="4" t="s">
        <v>18</v>
      </c>
    </row>
    <row r="26" customFormat="false" ht="15" hidden="false" customHeight="false" outlineLevel="0" collapsed="false">
      <c r="B26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9"/>
    <col collapsed="false" customWidth="true" hidden="false" outlineLevel="0" max="4" min="4" style="0" width="11"/>
    <col collapsed="false" customWidth="true" hidden="false" outlineLevel="0" max="6" min="5" style="0" width="8"/>
    <col collapsed="false" customWidth="true" hidden="false" outlineLevel="0" max="9" min="7" style="0" width="9"/>
    <col collapsed="false" customWidth="true" hidden="false" outlineLevel="0" max="11" min="10" style="0" width="11"/>
    <col collapsed="false" customWidth="true" hidden="false" outlineLevel="0" max="13" min="12" style="0" width="8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40"/>
  </cols>
  <sheetData>
    <row r="1" customFormat="false" ht="21.75" hidden="false" customHeight="true" outlineLevel="0" collapsed="false">
      <c r="A1" s="6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customFormat="false" ht="42" hidden="false" customHeight="true" outlineLevel="0" collapsed="false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  <c r="H2" s="7" t="s">
        <v>28</v>
      </c>
      <c r="I2" s="7" t="s">
        <v>29</v>
      </c>
      <c r="J2" s="7" t="s">
        <v>30</v>
      </c>
      <c r="K2" s="7" t="s">
        <v>31</v>
      </c>
      <c r="L2" s="7" t="s">
        <v>32</v>
      </c>
      <c r="M2" s="7" t="s">
        <v>33</v>
      </c>
      <c r="N2" s="7" t="s">
        <v>34</v>
      </c>
      <c r="O2" s="7" t="s">
        <v>35</v>
      </c>
      <c r="P2" s="7" t="s">
        <v>36</v>
      </c>
      <c r="Q2" s="7" t="s">
        <v>37</v>
      </c>
      <c r="R2" s="7" t="s">
        <v>38</v>
      </c>
      <c r="S2" s="7" t="s">
        <v>39</v>
      </c>
    </row>
    <row r="3" customFormat="false" ht="15" hidden="false" customHeight="false" outlineLevel="0" collapsed="false">
      <c r="A3" s="8" t="s">
        <v>40</v>
      </c>
      <c r="B3" s="8" t="n">
        <v>15</v>
      </c>
      <c r="C3" s="8" t="n">
        <v>13.8</v>
      </c>
      <c r="D3" s="9" t="s">
        <v>41</v>
      </c>
      <c r="E3" s="9" t="s">
        <v>42</v>
      </c>
      <c r="F3" s="8" t="n">
        <v>1</v>
      </c>
      <c r="G3" s="8" t="n">
        <v>48</v>
      </c>
      <c r="H3" s="8" t="n">
        <v>36</v>
      </c>
      <c r="I3" s="8" t="n">
        <v>25</v>
      </c>
      <c r="J3" s="8" t="n">
        <v>90</v>
      </c>
      <c r="K3" s="8" t="n">
        <v>250</v>
      </c>
      <c r="L3" s="9" t="s">
        <v>43</v>
      </c>
      <c r="M3" s="10" t="n">
        <v>1</v>
      </c>
      <c r="N3" s="8" t="n">
        <v>207</v>
      </c>
      <c r="O3" s="11"/>
      <c r="P3" s="12" t="str">
        <f aca="false">IF($O3="","",(O3-N3)/N3)</f>
        <v/>
      </c>
      <c r="Q3" s="13" t="str">
        <f aca="false">IF($O3="","",IF(ABS(P3)&lt;=0.05,"PASS","FAIL"))</f>
        <v/>
      </c>
      <c r="R3" s="8" t="n">
        <v>196.6</v>
      </c>
      <c r="S3" s="14" t="s">
        <v>44</v>
      </c>
    </row>
    <row r="4" customFormat="false" ht="15" hidden="false" customHeight="false" outlineLevel="0" collapsed="false">
      <c r="A4" s="15" t="s">
        <v>45</v>
      </c>
      <c r="B4" s="15" t="n">
        <v>15</v>
      </c>
      <c r="C4" s="15" t="n">
        <v>13.8</v>
      </c>
      <c r="D4" s="16" t="s">
        <v>46</v>
      </c>
      <c r="E4" s="16" t="s">
        <v>42</v>
      </c>
      <c r="F4" s="15" t="n">
        <v>1</v>
      </c>
      <c r="G4" s="15" t="n">
        <v>48</v>
      </c>
      <c r="H4" s="15" t="n">
        <v>36</v>
      </c>
      <c r="I4" s="15" t="n">
        <v>25</v>
      </c>
      <c r="J4" s="15" t="n">
        <v>90</v>
      </c>
      <c r="K4" s="15" t="n">
        <v>250</v>
      </c>
      <c r="L4" s="16" t="s">
        <v>43</v>
      </c>
      <c r="M4" s="17" t="n">
        <v>1</v>
      </c>
      <c r="N4" s="15" t="n">
        <v>227.2</v>
      </c>
      <c r="O4" s="11"/>
      <c r="P4" s="18" t="str">
        <f aca="false">IF($O4="","",(O4-N4)/N4)</f>
        <v/>
      </c>
      <c r="Q4" s="19" t="str">
        <f aca="false">IF($O4="","",IF(ABS(P4)&lt;=0.05,"PASS","FAIL"))</f>
        <v/>
      </c>
      <c r="R4" s="15" t="n">
        <v>215.8</v>
      </c>
      <c r="S4" s="20" t="s">
        <v>44</v>
      </c>
    </row>
    <row r="5" customFormat="false" ht="15" hidden="false" customHeight="false" outlineLevel="0" collapsed="false">
      <c r="A5" s="8" t="s">
        <v>47</v>
      </c>
      <c r="B5" s="8" t="n">
        <v>15</v>
      </c>
      <c r="C5" s="8" t="n">
        <v>13.8</v>
      </c>
      <c r="D5" s="9" t="s">
        <v>48</v>
      </c>
      <c r="E5" s="9" t="s">
        <v>42</v>
      </c>
      <c r="F5" s="8" t="n">
        <v>1</v>
      </c>
      <c r="G5" s="8" t="n">
        <v>48</v>
      </c>
      <c r="H5" s="8" t="n">
        <v>36</v>
      </c>
      <c r="I5" s="8" t="n">
        <v>25</v>
      </c>
      <c r="J5" s="8" t="n">
        <v>90</v>
      </c>
      <c r="K5" s="8" t="n">
        <v>250</v>
      </c>
      <c r="L5" s="9" t="s">
        <v>43</v>
      </c>
      <c r="M5" s="10" t="n">
        <v>1</v>
      </c>
      <c r="N5" s="8" t="n">
        <v>272.6</v>
      </c>
      <c r="O5" s="11"/>
      <c r="P5" s="12" t="str">
        <f aca="false">IF($O5="","",(O5-N5)/N5)</f>
        <v/>
      </c>
      <c r="Q5" s="13" t="str">
        <f aca="false">IF($O5="","",IF(ABS(P5)&lt;=0.05,"PASS","FAIL"))</f>
        <v/>
      </c>
      <c r="R5" s="8" t="n">
        <v>258.9</v>
      </c>
      <c r="S5" s="14" t="s">
        <v>44</v>
      </c>
    </row>
    <row r="6" customFormat="false" ht="15" hidden="false" customHeight="false" outlineLevel="0" collapsed="false">
      <c r="A6" s="15" t="s">
        <v>49</v>
      </c>
      <c r="B6" s="15" t="n">
        <v>15</v>
      </c>
      <c r="C6" s="15" t="n">
        <v>13.8</v>
      </c>
      <c r="D6" s="16" t="s">
        <v>50</v>
      </c>
      <c r="E6" s="16" t="s">
        <v>42</v>
      </c>
      <c r="F6" s="15" t="n">
        <v>1</v>
      </c>
      <c r="G6" s="15" t="n">
        <v>48</v>
      </c>
      <c r="H6" s="15" t="n">
        <v>36</v>
      </c>
      <c r="I6" s="15" t="n">
        <v>25</v>
      </c>
      <c r="J6" s="15" t="n">
        <v>90</v>
      </c>
      <c r="K6" s="15" t="n">
        <v>250</v>
      </c>
      <c r="L6" s="16" t="s">
        <v>43</v>
      </c>
      <c r="M6" s="17" t="n">
        <v>1</v>
      </c>
      <c r="N6" s="15" t="n">
        <v>329.5</v>
      </c>
      <c r="O6" s="11"/>
      <c r="P6" s="18" t="str">
        <f aca="false">IF($O6="","",(O6-N6)/N6)</f>
        <v/>
      </c>
      <c r="Q6" s="19" t="str">
        <f aca="false">IF($O6="","",IF(ABS(P6)&lt;=0.05,"PASS","FAIL"))</f>
        <v/>
      </c>
      <c r="R6" s="15" t="n">
        <v>313</v>
      </c>
      <c r="S6" s="20" t="s">
        <v>44</v>
      </c>
    </row>
    <row r="7" customFormat="false" ht="15" hidden="false" customHeight="false" outlineLevel="0" collapsed="false">
      <c r="A7" s="8" t="s">
        <v>51</v>
      </c>
      <c r="B7" s="8" t="n">
        <v>15</v>
      </c>
      <c r="C7" s="8" t="n">
        <v>13.8</v>
      </c>
      <c r="D7" s="9" t="s">
        <v>52</v>
      </c>
      <c r="E7" s="9" t="s">
        <v>42</v>
      </c>
      <c r="F7" s="8" t="n">
        <v>1</v>
      </c>
      <c r="G7" s="8" t="n">
        <v>48</v>
      </c>
      <c r="H7" s="8" t="n">
        <v>36</v>
      </c>
      <c r="I7" s="8" t="n">
        <v>25</v>
      </c>
      <c r="J7" s="8" t="n">
        <v>90</v>
      </c>
      <c r="K7" s="8" t="n">
        <v>250</v>
      </c>
      <c r="L7" s="9" t="s">
        <v>43</v>
      </c>
      <c r="M7" s="10" t="n">
        <v>1</v>
      </c>
      <c r="N7" s="8" t="n">
        <v>411.6</v>
      </c>
      <c r="O7" s="11"/>
      <c r="P7" s="12" t="str">
        <f aca="false">IF($O7="","",(O7-N7)/N7)</f>
        <v/>
      </c>
      <c r="Q7" s="13" t="str">
        <f aca="false">IF($O7="","",IF(ABS(P7)&lt;=0.05,"PASS","FAIL"))</f>
        <v/>
      </c>
      <c r="R7" s="8" t="n">
        <v>391</v>
      </c>
      <c r="S7" s="14" t="s">
        <v>44</v>
      </c>
    </row>
    <row r="8" customFormat="false" ht="15" hidden="false" customHeight="false" outlineLevel="0" collapsed="false">
      <c r="A8" s="15" t="s">
        <v>53</v>
      </c>
      <c r="B8" s="15" t="n">
        <v>15</v>
      </c>
      <c r="C8" s="15" t="n">
        <v>13.8</v>
      </c>
      <c r="D8" s="16" t="s">
        <v>54</v>
      </c>
      <c r="E8" s="16" t="s">
        <v>42</v>
      </c>
      <c r="F8" s="15" t="n">
        <v>1</v>
      </c>
      <c r="G8" s="15" t="n">
        <v>48</v>
      </c>
      <c r="H8" s="15" t="n">
        <v>36</v>
      </c>
      <c r="I8" s="15" t="n">
        <v>25</v>
      </c>
      <c r="J8" s="15" t="n">
        <v>90</v>
      </c>
      <c r="K8" s="15" t="n">
        <v>250</v>
      </c>
      <c r="L8" s="16" t="s">
        <v>43</v>
      </c>
      <c r="M8" s="17" t="n">
        <v>1</v>
      </c>
      <c r="N8" s="15" t="n">
        <v>484.7</v>
      </c>
      <c r="O8" s="11"/>
      <c r="P8" s="18" t="str">
        <f aca="false">IF($O8="","",(O8-N8)/N8)</f>
        <v/>
      </c>
      <c r="Q8" s="19" t="str">
        <f aca="false">IF($O8="","",IF(ABS(P8)&lt;=0.05,"PASS","FAIL"))</f>
        <v/>
      </c>
      <c r="R8" s="15" t="n">
        <v>460.4</v>
      </c>
      <c r="S8" s="20" t="s">
        <v>44</v>
      </c>
    </row>
    <row r="9" customFormat="false" ht="15" hidden="false" customHeight="false" outlineLevel="0" collapsed="false">
      <c r="A9" s="8" t="s">
        <v>55</v>
      </c>
      <c r="B9" s="8" t="n">
        <v>15</v>
      </c>
      <c r="C9" s="8" t="n">
        <v>13.8</v>
      </c>
      <c r="D9" s="9" t="s">
        <v>41</v>
      </c>
      <c r="E9" s="9" t="s">
        <v>56</v>
      </c>
      <c r="F9" s="8" t="n">
        <v>1</v>
      </c>
      <c r="G9" s="8" t="n">
        <v>48</v>
      </c>
      <c r="H9" s="8" t="n">
        <v>36</v>
      </c>
      <c r="I9" s="8" t="n">
        <v>25</v>
      </c>
      <c r="J9" s="8" t="n">
        <v>90</v>
      </c>
      <c r="K9" s="8" t="n">
        <v>250</v>
      </c>
      <c r="L9" s="9" t="s">
        <v>43</v>
      </c>
      <c r="M9" s="10" t="n">
        <v>1</v>
      </c>
      <c r="N9" s="8" t="n">
        <v>194</v>
      </c>
      <c r="O9" s="11"/>
      <c r="P9" s="12" t="str">
        <f aca="false">IF($O9="","",(O9-N9)/N9)</f>
        <v/>
      </c>
      <c r="Q9" s="13" t="str">
        <f aca="false">IF($O9="","",IF(ABS(P9)&lt;=0.05,"PASS","FAIL"))</f>
        <v/>
      </c>
      <c r="R9" s="8" t="n">
        <v>184.3</v>
      </c>
      <c r="S9" s="14" t="s">
        <v>57</v>
      </c>
    </row>
    <row r="10" customFormat="false" ht="15" hidden="false" customHeight="false" outlineLevel="0" collapsed="false">
      <c r="A10" s="15" t="s">
        <v>58</v>
      </c>
      <c r="B10" s="15" t="n">
        <v>15</v>
      </c>
      <c r="C10" s="15" t="n">
        <v>13.8</v>
      </c>
      <c r="D10" s="16" t="s">
        <v>50</v>
      </c>
      <c r="E10" s="16" t="s">
        <v>56</v>
      </c>
      <c r="F10" s="15" t="n">
        <v>1</v>
      </c>
      <c r="G10" s="15" t="n">
        <v>48</v>
      </c>
      <c r="H10" s="15" t="n">
        <v>36</v>
      </c>
      <c r="I10" s="15" t="n">
        <v>25</v>
      </c>
      <c r="J10" s="15" t="n">
        <v>90</v>
      </c>
      <c r="K10" s="15" t="n">
        <v>250</v>
      </c>
      <c r="L10" s="16" t="s">
        <v>43</v>
      </c>
      <c r="M10" s="17" t="n">
        <v>1</v>
      </c>
      <c r="N10" s="15" t="n">
        <v>304.3</v>
      </c>
      <c r="O10" s="11"/>
      <c r="P10" s="18" t="str">
        <f aca="false">IF($O10="","",(O10-N10)/N10)</f>
        <v/>
      </c>
      <c r="Q10" s="19" t="str">
        <f aca="false">IF($O10="","",IF(ABS(P10)&lt;=0.05,"PASS","FAIL"))</f>
        <v/>
      </c>
      <c r="R10" s="15" t="n">
        <v>289</v>
      </c>
      <c r="S10" s="20" t="s">
        <v>57</v>
      </c>
    </row>
    <row r="11" customFormat="false" ht="15" hidden="false" customHeight="false" outlineLevel="0" collapsed="false">
      <c r="A11" s="8" t="s">
        <v>59</v>
      </c>
      <c r="B11" s="8" t="n">
        <v>15</v>
      </c>
      <c r="C11" s="8" t="n">
        <v>13.8</v>
      </c>
      <c r="D11" s="9" t="s">
        <v>54</v>
      </c>
      <c r="E11" s="9" t="s">
        <v>56</v>
      </c>
      <c r="F11" s="8" t="n">
        <v>1</v>
      </c>
      <c r="G11" s="8" t="n">
        <v>48</v>
      </c>
      <c r="H11" s="8" t="n">
        <v>36</v>
      </c>
      <c r="I11" s="8" t="n">
        <v>25</v>
      </c>
      <c r="J11" s="8" t="n">
        <v>90</v>
      </c>
      <c r="K11" s="8" t="n">
        <v>250</v>
      </c>
      <c r="L11" s="9" t="s">
        <v>43</v>
      </c>
      <c r="M11" s="10" t="n">
        <v>1</v>
      </c>
      <c r="N11" s="8" t="n">
        <v>489.5</v>
      </c>
      <c r="O11" s="11"/>
      <c r="P11" s="12" t="str">
        <f aca="false">IF($O11="","",(O11-N11)/N11)</f>
        <v/>
      </c>
      <c r="Q11" s="13" t="str">
        <f aca="false">IF($O11="","",IF(ABS(P11)&lt;=0.05,"PASS","FAIL"))</f>
        <v/>
      </c>
      <c r="R11" s="8" t="n">
        <v>465</v>
      </c>
      <c r="S11" s="14" t="s">
        <v>57</v>
      </c>
    </row>
    <row r="12" customFormat="false" ht="15" hidden="false" customHeight="false" outlineLevel="0" collapsed="false">
      <c r="A12" s="15" t="s">
        <v>60</v>
      </c>
      <c r="B12" s="15" t="n">
        <v>15</v>
      </c>
      <c r="C12" s="15" t="n">
        <v>13.8</v>
      </c>
      <c r="D12" s="16" t="s">
        <v>50</v>
      </c>
      <c r="E12" s="16" t="s">
        <v>42</v>
      </c>
      <c r="F12" s="15" t="n">
        <v>2</v>
      </c>
      <c r="G12" s="15" t="n">
        <v>18</v>
      </c>
      <c r="H12" s="15" t="n">
        <v>36</v>
      </c>
      <c r="I12" s="15" t="n">
        <v>25</v>
      </c>
      <c r="J12" s="15" t="n">
        <v>90</v>
      </c>
      <c r="K12" s="15" t="n">
        <v>250</v>
      </c>
      <c r="L12" s="16" t="s">
        <v>43</v>
      </c>
      <c r="M12" s="17" t="n">
        <v>1</v>
      </c>
      <c r="N12" s="15" t="n">
        <v>309.9</v>
      </c>
      <c r="O12" s="11"/>
      <c r="P12" s="18" t="str">
        <f aca="false">IF($O12="","",(O12-N12)/N12)</f>
        <v/>
      </c>
      <c r="Q12" s="19" t="str">
        <f aca="false">IF($O12="","",IF(ABS(P12)&lt;=0.05,"PASS","FAIL"))</f>
        <v/>
      </c>
      <c r="R12" s="15" t="n">
        <v>294.4</v>
      </c>
      <c r="S12" s="20" t="s">
        <v>61</v>
      </c>
    </row>
    <row r="13" customFormat="false" ht="15" hidden="false" customHeight="false" outlineLevel="0" collapsed="false">
      <c r="A13" s="8" t="s">
        <v>62</v>
      </c>
      <c r="B13" s="8" t="n">
        <v>15</v>
      </c>
      <c r="C13" s="8" t="n">
        <v>13.8</v>
      </c>
      <c r="D13" s="9" t="s">
        <v>54</v>
      </c>
      <c r="E13" s="9" t="s">
        <v>42</v>
      </c>
      <c r="F13" s="8" t="n">
        <v>2</v>
      </c>
      <c r="G13" s="8" t="n">
        <v>18</v>
      </c>
      <c r="H13" s="8" t="n">
        <v>36</v>
      </c>
      <c r="I13" s="8" t="n">
        <v>25</v>
      </c>
      <c r="J13" s="8" t="n">
        <v>90</v>
      </c>
      <c r="K13" s="8" t="n">
        <v>250</v>
      </c>
      <c r="L13" s="9" t="s">
        <v>43</v>
      </c>
      <c r="M13" s="10" t="n">
        <v>1</v>
      </c>
      <c r="N13" s="8" t="n">
        <v>453.3</v>
      </c>
      <c r="O13" s="11"/>
      <c r="P13" s="12" t="str">
        <f aca="false">IF($O13="","",(O13-N13)/N13)</f>
        <v/>
      </c>
      <c r="Q13" s="13" t="str">
        <f aca="false">IF($O13="","",IF(ABS(P13)&lt;=0.05,"PASS","FAIL"))</f>
        <v/>
      </c>
      <c r="R13" s="8" t="n">
        <v>430.6</v>
      </c>
      <c r="S13" s="14" t="s">
        <v>61</v>
      </c>
    </row>
    <row r="14" customFormat="false" ht="15" hidden="false" customHeight="false" outlineLevel="0" collapsed="false">
      <c r="A14" s="15" t="s">
        <v>63</v>
      </c>
      <c r="B14" s="15" t="n">
        <v>15</v>
      </c>
      <c r="C14" s="15" t="n">
        <v>13.8</v>
      </c>
      <c r="D14" s="16" t="s">
        <v>50</v>
      </c>
      <c r="E14" s="16" t="s">
        <v>56</v>
      </c>
      <c r="F14" s="15" t="n">
        <v>2</v>
      </c>
      <c r="G14" s="15" t="n">
        <v>12</v>
      </c>
      <c r="H14" s="15" t="n">
        <v>36</v>
      </c>
      <c r="I14" s="15" t="n">
        <v>25</v>
      </c>
      <c r="J14" s="15" t="n">
        <v>90</v>
      </c>
      <c r="K14" s="15" t="n">
        <v>250</v>
      </c>
      <c r="L14" s="16" t="s">
        <v>43</v>
      </c>
      <c r="M14" s="17" t="n">
        <v>1</v>
      </c>
      <c r="N14" s="15" t="n">
        <v>281</v>
      </c>
      <c r="O14" s="11"/>
      <c r="P14" s="18" t="str">
        <f aca="false">IF($O14="","",(O14-N14)/N14)</f>
        <v/>
      </c>
      <c r="Q14" s="19" t="str">
        <f aca="false">IF($O14="","",IF(ABS(P14)&lt;=0.05,"PASS","FAIL"))</f>
        <v/>
      </c>
      <c r="R14" s="15" t="n">
        <v>266.9</v>
      </c>
      <c r="S14" s="20" t="s">
        <v>64</v>
      </c>
    </row>
    <row r="15" customFormat="false" ht="15" hidden="false" customHeight="false" outlineLevel="0" collapsed="false">
      <c r="A15" s="8" t="s">
        <v>65</v>
      </c>
      <c r="B15" s="8" t="n">
        <v>15</v>
      </c>
      <c r="C15" s="8" t="n">
        <v>13.8</v>
      </c>
      <c r="D15" s="9" t="s">
        <v>50</v>
      </c>
      <c r="E15" s="9" t="s">
        <v>42</v>
      </c>
      <c r="F15" s="8" t="n">
        <v>1</v>
      </c>
      <c r="G15" s="8" t="n">
        <v>48</v>
      </c>
      <c r="H15" s="8" t="n">
        <v>36</v>
      </c>
      <c r="I15" s="8" t="n">
        <v>25</v>
      </c>
      <c r="J15" s="8" t="n">
        <v>120</v>
      </c>
      <c r="K15" s="8" t="n">
        <v>300</v>
      </c>
      <c r="L15" s="9" t="s">
        <v>43</v>
      </c>
      <c r="M15" s="10" t="n">
        <v>1</v>
      </c>
      <c r="N15" s="8" t="n">
        <v>299.7</v>
      </c>
      <c r="O15" s="11"/>
      <c r="P15" s="12" t="str">
        <f aca="false">IF($O15="","",(O15-N15)/N15)</f>
        <v/>
      </c>
      <c r="Q15" s="13" t="str">
        <f aca="false">IF($O15="","",IF(ABS(P15)&lt;=0.05,"PASS","FAIL"))</f>
        <v/>
      </c>
      <c r="R15" s="8" t="n">
        <v>284.6</v>
      </c>
      <c r="S15" s="14" t="s">
        <v>66</v>
      </c>
    </row>
    <row r="16" customFormat="false" ht="15" hidden="false" customHeight="false" outlineLevel="0" collapsed="false">
      <c r="A16" s="15" t="s">
        <v>67</v>
      </c>
      <c r="B16" s="15" t="n">
        <v>15</v>
      </c>
      <c r="C16" s="15" t="n">
        <v>13.8</v>
      </c>
      <c r="D16" s="16" t="s">
        <v>50</v>
      </c>
      <c r="E16" s="16" t="s">
        <v>42</v>
      </c>
      <c r="F16" s="15" t="n">
        <v>1</v>
      </c>
      <c r="G16" s="15" t="n">
        <v>48</v>
      </c>
      <c r="H16" s="15" t="n">
        <v>36</v>
      </c>
      <c r="I16" s="15" t="n">
        <v>35</v>
      </c>
      <c r="J16" s="15" t="n">
        <v>90</v>
      </c>
      <c r="K16" s="15" t="n">
        <v>250</v>
      </c>
      <c r="L16" s="16" t="s">
        <v>43</v>
      </c>
      <c r="M16" s="17" t="n">
        <v>1</v>
      </c>
      <c r="N16" s="15" t="n">
        <v>303.1</v>
      </c>
      <c r="O16" s="11"/>
      <c r="P16" s="18" t="str">
        <f aca="false">IF($O16="","",(O16-N16)/N16)</f>
        <v/>
      </c>
      <c r="Q16" s="19" t="str">
        <f aca="false">IF($O16="","",IF(ABS(P16)&lt;=0.05,"PASS","FAIL"))</f>
        <v/>
      </c>
      <c r="R16" s="15" t="n">
        <v>287.9</v>
      </c>
      <c r="S16" s="20" t="s">
        <v>68</v>
      </c>
    </row>
    <row r="17" customFormat="false" ht="15" hidden="false" customHeight="false" outlineLevel="0" collapsed="false">
      <c r="A17" s="8" t="s">
        <v>69</v>
      </c>
      <c r="B17" s="8" t="n">
        <v>15</v>
      </c>
      <c r="C17" s="8" t="n">
        <v>13.8</v>
      </c>
      <c r="D17" s="9" t="s">
        <v>50</v>
      </c>
      <c r="E17" s="9" t="s">
        <v>42</v>
      </c>
      <c r="F17" s="8" t="n">
        <v>1</v>
      </c>
      <c r="G17" s="8" t="n">
        <v>48</v>
      </c>
      <c r="H17" s="8" t="n">
        <v>60</v>
      </c>
      <c r="I17" s="8" t="n">
        <v>25</v>
      </c>
      <c r="J17" s="8" t="n">
        <v>90</v>
      </c>
      <c r="K17" s="8" t="n">
        <v>250</v>
      </c>
      <c r="L17" s="9" t="s">
        <v>43</v>
      </c>
      <c r="M17" s="10" t="n">
        <v>0.75</v>
      </c>
      <c r="N17" s="8" t="n">
        <v>379.4</v>
      </c>
      <c r="O17" s="11"/>
      <c r="P17" s="12" t="str">
        <f aca="false">IF($O17="","",(O17-N17)/N17)</f>
        <v/>
      </c>
      <c r="Q17" s="13" t="str">
        <f aca="false">IF($O17="","",IF(ABS(P17)&lt;=0.05,"PASS","FAIL"))</f>
        <v/>
      </c>
      <c r="R17" s="8" t="n">
        <v>360.4</v>
      </c>
      <c r="S17" s="14" t="s">
        <v>70</v>
      </c>
    </row>
    <row r="18" customFormat="false" ht="15" hidden="false" customHeight="false" outlineLevel="0" collapsed="false">
      <c r="A18" s="15" t="s">
        <v>71</v>
      </c>
      <c r="B18" s="15" t="n">
        <v>25</v>
      </c>
      <c r="C18" s="15" t="n">
        <v>24</v>
      </c>
      <c r="D18" s="16" t="s">
        <v>41</v>
      </c>
      <c r="E18" s="16" t="s">
        <v>42</v>
      </c>
      <c r="F18" s="15" t="n">
        <v>1</v>
      </c>
      <c r="G18" s="15" t="n">
        <v>48</v>
      </c>
      <c r="H18" s="15" t="n">
        <v>36</v>
      </c>
      <c r="I18" s="15" t="n">
        <v>25</v>
      </c>
      <c r="J18" s="15" t="n">
        <v>90</v>
      </c>
      <c r="K18" s="15" t="n">
        <v>250</v>
      </c>
      <c r="L18" s="16" t="s">
        <v>43</v>
      </c>
      <c r="M18" s="17" t="n">
        <v>1</v>
      </c>
      <c r="N18" s="15" t="n">
        <v>209.2</v>
      </c>
      <c r="O18" s="11"/>
      <c r="P18" s="18" t="str">
        <f aca="false">IF($O18="","",(O18-N18)/N18)</f>
        <v/>
      </c>
      <c r="Q18" s="19" t="str">
        <f aca="false">IF($O18="","",IF(ABS(P18)&lt;=0.05,"PASS","FAIL"))</f>
        <v/>
      </c>
      <c r="R18" s="15" t="n">
        <v>198.7</v>
      </c>
      <c r="S18" s="20" t="s">
        <v>44</v>
      </c>
    </row>
    <row r="19" customFormat="false" ht="15" hidden="false" customHeight="false" outlineLevel="0" collapsed="false">
      <c r="A19" s="8" t="s">
        <v>72</v>
      </c>
      <c r="B19" s="8" t="n">
        <v>25</v>
      </c>
      <c r="C19" s="8" t="n">
        <v>24</v>
      </c>
      <c r="D19" s="9" t="s">
        <v>46</v>
      </c>
      <c r="E19" s="9" t="s">
        <v>42</v>
      </c>
      <c r="F19" s="8" t="n">
        <v>1</v>
      </c>
      <c r="G19" s="8" t="n">
        <v>48</v>
      </c>
      <c r="H19" s="8" t="n">
        <v>36</v>
      </c>
      <c r="I19" s="8" t="n">
        <v>25</v>
      </c>
      <c r="J19" s="8" t="n">
        <v>90</v>
      </c>
      <c r="K19" s="8" t="n">
        <v>250</v>
      </c>
      <c r="L19" s="9" t="s">
        <v>43</v>
      </c>
      <c r="M19" s="10" t="n">
        <v>1</v>
      </c>
      <c r="N19" s="8" t="n">
        <v>229.7</v>
      </c>
      <c r="O19" s="11"/>
      <c r="P19" s="12" t="str">
        <f aca="false">IF($O19="","",(O19-N19)/N19)</f>
        <v/>
      </c>
      <c r="Q19" s="13" t="str">
        <f aca="false">IF($O19="","",IF(ABS(P19)&lt;=0.05,"PASS","FAIL"))</f>
        <v/>
      </c>
      <c r="R19" s="8" t="n">
        <v>218.2</v>
      </c>
      <c r="S19" s="14" t="s">
        <v>44</v>
      </c>
    </row>
    <row r="20" customFormat="false" ht="15" hidden="false" customHeight="false" outlineLevel="0" collapsed="false">
      <c r="A20" s="15" t="s">
        <v>73</v>
      </c>
      <c r="B20" s="15" t="n">
        <v>25</v>
      </c>
      <c r="C20" s="15" t="n">
        <v>24</v>
      </c>
      <c r="D20" s="16" t="s">
        <v>48</v>
      </c>
      <c r="E20" s="16" t="s">
        <v>42</v>
      </c>
      <c r="F20" s="15" t="n">
        <v>1</v>
      </c>
      <c r="G20" s="15" t="n">
        <v>48</v>
      </c>
      <c r="H20" s="15" t="n">
        <v>36</v>
      </c>
      <c r="I20" s="15" t="n">
        <v>25</v>
      </c>
      <c r="J20" s="15" t="n">
        <v>90</v>
      </c>
      <c r="K20" s="15" t="n">
        <v>250</v>
      </c>
      <c r="L20" s="16" t="s">
        <v>43</v>
      </c>
      <c r="M20" s="17" t="n">
        <v>1</v>
      </c>
      <c r="N20" s="15" t="n">
        <v>275.2</v>
      </c>
      <c r="O20" s="11"/>
      <c r="P20" s="18" t="str">
        <f aca="false">IF($O20="","",(O20-N20)/N20)</f>
        <v/>
      </c>
      <c r="Q20" s="19" t="str">
        <f aca="false">IF($O20="","",IF(ABS(P20)&lt;=0.05,"PASS","FAIL"))</f>
        <v/>
      </c>
      <c r="R20" s="15" t="n">
        <v>261.4</v>
      </c>
      <c r="S20" s="20" t="s">
        <v>44</v>
      </c>
    </row>
    <row r="21" customFormat="false" ht="15" hidden="false" customHeight="false" outlineLevel="0" collapsed="false">
      <c r="A21" s="8" t="s">
        <v>74</v>
      </c>
      <c r="B21" s="8" t="n">
        <v>25</v>
      </c>
      <c r="C21" s="8" t="n">
        <v>24</v>
      </c>
      <c r="D21" s="9" t="s">
        <v>50</v>
      </c>
      <c r="E21" s="9" t="s">
        <v>42</v>
      </c>
      <c r="F21" s="8" t="n">
        <v>1</v>
      </c>
      <c r="G21" s="8" t="n">
        <v>48</v>
      </c>
      <c r="H21" s="8" t="n">
        <v>36</v>
      </c>
      <c r="I21" s="8" t="n">
        <v>25</v>
      </c>
      <c r="J21" s="8" t="n">
        <v>90</v>
      </c>
      <c r="K21" s="8" t="n">
        <v>250</v>
      </c>
      <c r="L21" s="9" t="s">
        <v>43</v>
      </c>
      <c r="M21" s="10" t="n">
        <v>1</v>
      </c>
      <c r="N21" s="8" t="n">
        <v>333.3</v>
      </c>
      <c r="O21" s="11"/>
      <c r="P21" s="12" t="str">
        <f aca="false">IF($O21="","",(O21-N21)/N21)</f>
        <v/>
      </c>
      <c r="Q21" s="13" t="str">
        <f aca="false">IF($O21="","",IF(ABS(P21)&lt;=0.05,"PASS","FAIL"))</f>
        <v/>
      </c>
      <c r="R21" s="8" t="n">
        <v>316.6</v>
      </c>
      <c r="S21" s="14" t="s">
        <v>44</v>
      </c>
    </row>
    <row r="22" customFormat="false" ht="15" hidden="false" customHeight="false" outlineLevel="0" collapsed="false">
      <c r="A22" s="15" t="s">
        <v>75</v>
      </c>
      <c r="B22" s="15" t="n">
        <v>25</v>
      </c>
      <c r="C22" s="15" t="n">
        <v>24</v>
      </c>
      <c r="D22" s="16" t="s">
        <v>52</v>
      </c>
      <c r="E22" s="16" t="s">
        <v>42</v>
      </c>
      <c r="F22" s="15" t="n">
        <v>1</v>
      </c>
      <c r="G22" s="15" t="n">
        <v>48</v>
      </c>
      <c r="H22" s="15" t="n">
        <v>36</v>
      </c>
      <c r="I22" s="15" t="n">
        <v>25</v>
      </c>
      <c r="J22" s="15" t="n">
        <v>90</v>
      </c>
      <c r="K22" s="15" t="n">
        <v>250</v>
      </c>
      <c r="L22" s="16" t="s">
        <v>43</v>
      </c>
      <c r="M22" s="17" t="n">
        <v>1</v>
      </c>
      <c r="N22" s="15" t="n">
        <v>414.9</v>
      </c>
      <c r="O22" s="11"/>
      <c r="P22" s="18" t="str">
        <f aca="false">IF($O22="","",(O22-N22)/N22)</f>
        <v/>
      </c>
      <c r="Q22" s="19" t="str">
        <f aca="false">IF($O22="","",IF(ABS(P22)&lt;=0.05,"PASS","FAIL"))</f>
        <v/>
      </c>
      <c r="R22" s="15" t="n">
        <v>394.1</v>
      </c>
      <c r="S22" s="20" t="s">
        <v>44</v>
      </c>
    </row>
    <row r="23" customFormat="false" ht="15" hidden="false" customHeight="false" outlineLevel="0" collapsed="false">
      <c r="A23" s="8" t="s">
        <v>76</v>
      </c>
      <c r="B23" s="8" t="n">
        <v>25</v>
      </c>
      <c r="C23" s="8" t="n">
        <v>24</v>
      </c>
      <c r="D23" s="9" t="s">
        <v>54</v>
      </c>
      <c r="E23" s="9" t="s">
        <v>42</v>
      </c>
      <c r="F23" s="8" t="n">
        <v>1</v>
      </c>
      <c r="G23" s="8" t="n">
        <v>48</v>
      </c>
      <c r="H23" s="8" t="n">
        <v>36</v>
      </c>
      <c r="I23" s="8" t="n">
        <v>25</v>
      </c>
      <c r="J23" s="8" t="n">
        <v>90</v>
      </c>
      <c r="K23" s="8" t="n">
        <v>250</v>
      </c>
      <c r="L23" s="9" t="s">
        <v>43</v>
      </c>
      <c r="M23" s="10" t="n">
        <v>1</v>
      </c>
      <c r="N23" s="8" t="n">
        <v>489</v>
      </c>
      <c r="O23" s="11"/>
      <c r="P23" s="12" t="str">
        <f aca="false">IF($O23="","",(O23-N23)/N23)</f>
        <v/>
      </c>
      <c r="Q23" s="13" t="str">
        <f aca="false">IF($O23="","",IF(ABS(P23)&lt;=0.05,"PASS","FAIL"))</f>
        <v/>
      </c>
      <c r="R23" s="8" t="n">
        <v>464.5</v>
      </c>
      <c r="S23" s="14" t="s">
        <v>44</v>
      </c>
    </row>
    <row r="24" customFormat="false" ht="15" hidden="false" customHeight="false" outlineLevel="0" collapsed="false">
      <c r="A24" s="15" t="s">
        <v>77</v>
      </c>
      <c r="B24" s="15" t="n">
        <v>25</v>
      </c>
      <c r="C24" s="15" t="n">
        <v>24</v>
      </c>
      <c r="D24" s="16" t="s">
        <v>41</v>
      </c>
      <c r="E24" s="16" t="s">
        <v>56</v>
      </c>
      <c r="F24" s="15" t="n">
        <v>1</v>
      </c>
      <c r="G24" s="15" t="n">
        <v>48</v>
      </c>
      <c r="H24" s="15" t="n">
        <v>36</v>
      </c>
      <c r="I24" s="15" t="n">
        <v>25</v>
      </c>
      <c r="J24" s="15" t="n">
        <v>90</v>
      </c>
      <c r="K24" s="15" t="n">
        <v>250</v>
      </c>
      <c r="L24" s="16" t="s">
        <v>43</v>
      </c>
      <c r="M24" s="17" t="n">
        <v>1</v>
      </c>
      <c r="N24" s="15" t="n">
        <v>195.1</v>
      </c>
      <c r="O24" s="11"/>
      <c r="P24" s="18" t="str">
        <f aca="false">IF($O24="","",(O24-N24)/N24)</f>
        <v/>
      </c>
      <c r="Q24" s="19" t="str">
        <f aca="false">IF($O24="","",IF(ABS(P24)&lt;=0.05,"PASS","FAIL"))</f>
        <v/>
      </c>
      <c r="R24" s="15" t="n">
        <v>185.3</v>
      </c>
      <c r="S24" s="20" t="s">
        <v>57</v>
      </c>
    </row>
    <row r="25" customFormat="false" ht="15" hidden="false" customHeight="false" outlineLevel="0" collapsed="false">
      <c r="A25" s="8" t="s">
        <v>78</v>
      </c>
      <c r="B25" s="8" t="n">
        <v>25</v>
      </c>
      <c r="C25" s="8" t="n">
        <v>24</v>
      </c>
      <c r="D25" s="9" t="s">
        <v>50</v>
      </c>
      <c r="E25" s="9" t="s">
        <v>56</v>
      </c>
      <c r="F25" s="8" t="n">
        <v>1</v>
      </c>
      <c r="G25" s="8" t="n">
        <v>48</v>
      </c>
      <c r="H25" s="8" t="n">
        <v>36</v>
      </c>
      <c r="I25" s="8" t="n">
        <v>25</v>
      </c>
      <c r="J25" s="8" t="n">
        <v>90</v>
      </c>
      <c r="K25" s="8" t="n">
        <v>250</v>
      </c>
      <c r="L25" s="9" t="s">
        <v>43</v>
      </c>
      <c r="M25" s="10" t="n">
        <v>1</v>
      </c>
      <c r="N25" s="8" t="n">
        <v>305.4</v>
      </c>
      <c r="O25" s="11"/>
      <c r="P25" s="12" t="str">
        <f aca="false">IF($O25="","",(O25-N25)/N25)</f>
        <v/>
      </c>
      <c r="Q25" s="13" t="str">
        <f aca="false">IF($O25="","",IF(ABS(P25)&lt;=0.05,"PASS","FAIL"))</f>
        <v/>
      </c>
      <c r="R25" s="8" t="n">
        <v>290.1</v>
      </c>
      <c r="S25" s="14" t="s">
        <v>57</v>
      </c>
    </row>
    <row r="26" customFormat="false" ht="15" hidden="false" customHeight="false" outlineLevel="0" collapsed="false">
      <c r="A26" s="15" t="s">
        <v>79</v>
      </c>
      <c r="B26" s="15" t="n">
        <v>25</v>
      </c>
      <c r="C26" s="15" t="n">
        <v>24</v>
      </c>
      <c r="D26" s="16" t="s">
        <v>54</v>
      </c>
      <c r="E26" s="16" t="s">
        <v>56</v>
      </c>
      <c r="F26" s="15" t="n">
        <v>1</v>
      </c>
      <c r="G26" s="15" t="n">
        <v>48</v>
      </c>
      <c r="H26" s="15" t="n">
        <v>36</v>
      </c>
      <c r="I26" s="15" t="n">
        <v>25</v>
      </c>
      <c r="J26" s="15" t="n">
        <v>90</v>
      </c>
      <c r="K26" s="15" t="n">
        <v>250</v>
      </c>
      <c r="L26" s="16" t="s">
        <v>43</v>
      </c>
      <c r="M26" s="17" t="n">
        <v>1</v>
      </c>
      <c r="N26" s="15" t="n">
        <v>485.8</v>
      </c>
      <c r="O26" s="11"/>
      <c r="P26" s="18" t="str">
        <f aca="false">IF($O26="","",(O26-N26)/N26)</f>
        <v/>
      </c>
      <c r="Q26" s="19" t="str">
        <f aca="false">IF($O26="","",IF(ABS(P26)&lt;=0.05,"PASS","FAIL"))</f>
        <v/>
      </c>
      <c r="R26" s="15" t="n">
        <v>461.5</v>
      </c>
      <c r="S26" s="20" t="s">
        <v>57</v>
      </c>
    </row>
    <row r="27" customFormat="false" ht="15" hidden="false" customHeight="false" outlineLevel="0" collapsed="false">
      <c r="A27" s="8" t="s">
        <v>80</v>
      </c>
      <c r="B27" s="8" t="n">
        <v>25</v>
      </c>
      <c r="C27" s="8" t="n">
        <v>24</v>
      </c>
      <c r="D27" s="9" t="s">
        <v>50</v>
      </c>
      <c r="E27" s="9" t="s">
        <v>42</v>
      </c>
      <c r="F27" s="8" t="n">
        <v>2</v>
      </c>
      <c r="G27" s="8" t="n">
        <v>18</v>
      </c>
      <c r="H27" s="8" t="n">
        <v>36</v>
      </c>
      <c r="I27" s="8" t="n">
        <v>25</v>
      </c>
      <c r="J27" s="8" t="n">
        <v>90</v>
      </c>
      <c r="K27" s="8" t="n">
        <v>250</v>
      </c>
      <c r="L27" s="9" t="s">
        <v>43</v>
      </c>
      <c r="M27" s="10" t="n">
        <v>1</v>
      </c>
      <c r="N27" s="8" t="n">
        <v>313.1</v>
      </c>
      <c r="O27" s="11"/>
      <c r="P27" s="12" t="str">
        <f aca="false">IF($O27="","",(O27-N27)/N27)</f>
        <v/>
      </c>
      <c r="Q27" s="13" t="str">
        <f aca="false">IF($O27="","",IF(ABS(P27)&lt;=0.05,"PASS","FAIL"))</f>
        <v/>
      </c>
      <c r="R27" s="8" t="n">
        <v>297.4</v>
      </c>
      <c r="S27" s="14" t="s">
        <v>61</v>
      </c>
    </row>
    <row r="28" customFormat="false" ht="15" hidden="false" customHeight="false" outlineLevel="0" collapsed="false">
      <c r="A28" s="15" t="s">
        <v>81</v>
      </c>
      <c r="B28" s="15" t="n">
        <v>25</v>
      </c>
      <c r="C28" s="15" t="n">
        <v>24</v>
      </c>
      <c r="D28" s="16" t="s">
        <v>54</v>
      </c>
      <c r="E28" s="16" t="s">
        <v>42</v>
      </c>
      <c r="F28" s="15" t="n">
        <v>2</v>
      </c>
      <c r="G28" s="15" t="n">
        <v>18</v>
      </c>
      <c r="H28" s="15" t="n">
        <v>36</v>
      </c>
      <c r="I28" s="15" t="n">
        <v>25</v>
      </c>
      <c r="J28" s="15" t="n">
        <v>90</v>
      </c>
      <c r="K28" s="15" t="n">
        <v>250</v>
      </c>
      <c r="L28" s="16" t="s">
        <v>43</v>
      </c>
      <c r="M28" s="17" t="n">
        <v>1</v>
      </c>
      <c r="N28" s="15" t="n">
        <v>456.8</v>
      </c>
      <c r="O28" s="11"/>
      <c r="P28" s="18" t="str">
        <f aca="false">IF($O28="","",(O28-N28)/N28)</f>
        <v/>
      </c>
      <c r="Q28" s="19" t="str">
        <f aca="false">IF($O28="","",IF(ABS(P28)&lt;=0.05,"PASS","FAIL"))</f>
        <v/>
      </c>
      <c r="R28" s="15" t="n">
        <v>433.9</v>
      </c>
      <c r="S28" s="20" t="s">
        <v>61</v>
      </c>
    </row>
    <row r="29" customFormat="false" ht="15" hidden="false" customHeight="false" outlineLevel="0" collapsed="false">
      <c r="A29" s="8" t="s">
        <v>82</v>
      </c>
      <c r="B29" s="8" t="n">
        <v>25</v>
      </c>
      <c r="C29" s="8" t="n">
        <v>24</v>
      </c>
      <c r="D29" s="9" t="s">
        <v>50</v>
      </c>
      <c r="E29" s="9" t="s">
        <v>56</v>
      </c>
      <c r="F29" s="8" t="n">
        <v>2</v>
      </c>
      <c r="G29" s="8" t="n">
        <v>12</v>
      </c>
      <c r="H29" s="8" t="n">
        <v>36</v>
      </c>
      <c r="I29" s="8" t="n">
        <v>25</v>
      </c>
      <c r="J29" s="8" t="n">
        <v>90</v>
      </c>
      <c r="K29" s="8" t="n">
        <v>250</v>
      </c>
      <c r="L29" s="9" t="s">
        <v>43</v>
      </c>
      <c r="M29" s="10" t="n">
        <v>1</v>
      </c>
      <c r="N29" s="8" t="n">
        <v>281.9</v>
      </c>
      <c r="O29" s="11"/>
      <c r="P29" s="12" t="str">
        <f aca="false">IF($O29="","",(O29-N29)/N29)</f>
        <v/>
      </c>
      <c r="Q29" s="13" t="str">
        <f aca="false">IF($O29="","",IF(ABS(P29)&lt;=0.05,"PASS","FAIL"))</f>
        <v/>
      </c>
      <c r="R29" s="8" t="n">
        <v>267.7</v>
      </c>
      <c r="S29" s="14" t="s">
        <v>64</v>
      </c>
    </row>
    <row r="30" customFormat="false" ht="15" hidden="false" customHeight="false" outlineLevel="0" collapsed="false">
      <c r="A30" s="15" t="s">
        <v>83</v>
      </c>
      <c r="B30" s="15" t="n">
        <v>25</v>
      </c>
      <c r="C30" s="15" t="n">
        <v>24</v>
      </c>
      <c r="D30" s="16" t="s">
        <v>50</v>
      </c>
      <c r="E30" s="16" t="s">
        <v>42</v>
      </c>
      <c r="F30" s="15" t="n">
        <v>1</v>
      </c>
      <c r="G30" s="15" t="n">
        <v>48</v>
      </c>
      <c r="H30" s="15" t="n">
        <v>36</v>
      </c>
      <c r="I30" s="15" t="n">
        <v>25</v>
      </c>
      <c r="J30" s="15" t="n">
        <v>120</v>
      </c>
      <c r="K30" s="15" t="n">
        <v>300</v>
      </c>
      <c r="L30" s="16" t="s">
        <v>43</v>
      </c>
      <c r="M30" s="17" t="n">
        <v>1</v>
      </c>
      <c r="N30" s="15" t="n">
        <v>303.6</v>
      </c>
      <c r="O30" s="11"/>
      <c r="P30" s="18" t="str">
        <f aca="false">IF($O30="","",(O30-N30)/N30)</f>
        <v/>
      </c>
      <c r="Q30" s="19" t="str">
        <f aca="false">IF($O30="","",IF(ABS(P30)&lt;=0.05,"PASS","FAIL"))</f>
        <v/>
      </c>
      <c r="R30" s="15" t="n">
        <v>288.4</v>
      </c>
      <c r="S30" s="20" t="s">
        <v>66</v>
      </c>
    </row>
    <row r="31" customFormat="false" ht="15" hidden="false" customHeight="false" outlineLevel="0" collapsed="false">
      <c r="A31" s="8" t="s">
        <v>84</v>
      </c>
      <c r="B31" s="8" t="n">
        <v>25</v>
      </c>
      <c r="C31" s="8" t="n">
        <v>24</v>
      </c>
      <c r="D31" s="9" t="s">
        <v>50</v>
      </c>
      <c r="E31" s="9" t="s">
        <v>42</v>
      </c>
      <c r="F31" s="8" t="n">
        <v>1</v>
      </c>
      <c r="G31" s="8" t="n">
        <v>48</v>
      </c>
      <c r="H31" s="8" t="n">
        <v>36</v>
      </c>
      <c r="I31" s="8" t="n">
        <v>35</v>
      </c>
      <c r="J31" s="8" t="n">
        <v>90</v>
      </c>
      <c r="K31" s="8" t="n">
        <v>250</v>
      </c>
      <c r="L31" s="9" t="s">
        <v>43</v>
      </c>
      <c r="M31" s="10" t="n">
        <v>1</v>
      </c>
      <c r="N31" s="8" t="n">
        <v>306.6</v>
      </c>
      <c r="O31" s="11"/>
      <c r="P31" s="12" t="str">
        <f aca="false">IF($O31="","",(O31-N31)/N31)</f>
        <v/>
      </c>
      <c r="Q31" s="13" t="str">
        <f aca="false">IF($O31="","",IF(ABS(P31)&lt;=0.05,"PASS","FAIL"))</f>
        <v/>
      </c>
      <c r="R31" s="8" t="n">
        <v>291.2</v>
      </c>
      <c r="S31" s="14" t="s">
        <v>68</v>
      </c>
    </row>
    <row r="32" customFormat="false" ht="15" hidden="false" customHeight="false" outlineLevel="0" collapsed="false">
      <c r="A32" s="15" t="s">
        <v>85</v>
      </c>
      <c r="B32" s="15" t="n">
        <v>25</v>
      </c>
      <c r="C32" s="15" t="n">
        <v>24</v>
      </c>
      <c r="D32" s="16" t="s">
        <v>50</v>
      </c>
      <c r="E32" s="16" t="s">
        <v>42</v>
      </c>
      <c r="F32" s="15" t="n">
        <v>1</v>
      </c>
      <c r="G32" s="15" t="n">
        <v>48</v>
      </c>
      <c r="H32" s="15" t="n">
        <v>60</v>
      </c>
      <c r="I32" s="15" t="n">
        <v>25</v>
      </c>
      <c r="J32" s="15" t="n">
        <v>90</v>
      </c>
      <c r="K32" s="15" t="n">
        <v>250</v>
      </c>
      <c r="L32" s="16" t="s">
        <v>43</v>
      </c>
      <c r="M32" s="17" t="n">
        <v>0.75</v>
      </c>
      <c r="N32" s="15" t="n">
        <v>382.4</v>
      </c>
      <c r="O32" s="11"/>
      <c r="P32" s="18" t="str">
        <f aca="false">IF($O32="","",(O32-N32)/N32)</f>
        <v/>
      </c>
      <c r="Q32" s="19" t="str">
        <f aca="false">IF($O32="","",IF(ABS(P32)&lt;=0.05,"PASS","FAIL"))</f>
        <v/>
      </c>
      <c r="R32" s="15" t="n">
        <v>363.3</v>
      </c>
      <c r="S32" s="20" t="s">
        <v>70</v>
      </c>
    </row>
    <row r="34" customFormat="false" ht="15" hidden="false" customHeight="false" outlineLevel="0" collapsed="false">
      <c r="A34" s="21" t="s">
        <v>86</v>
      </c>
      <c r="B34" s="21"/>
      <c r="C34" s="21"/>
      <c r="D34" s="21"/>
      <c r="E34" s="21"/>
      <c r="G34" s="22" t="s">
        <v>87</v>
      </c>
      <c r="H34" s="23" t="n">
        <f aca="false">COUNTIF(Q3:Q32,"PASS")</f>
        <v>0</v>
      </c>
      <c r="I34" s="22" t="s">
        <v>88</v>
      </c>
      <c r="J34" s="23" t="n">
        <f aca="false">COUNTIF(Q3:Q32,"FAIL")</f>
        <v>0</v>
      </c>
    </row>
  </sheetData>
  <mergeCells count="2">
    <mergeCell ref="A1:S1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2026-07-29T23:55:51Z</dcterms:created>
  <dc:creator>openpyxl</dc:creator>
  <dc:description/>
  <dc:language>en-US</dc:language>
  <cp:lastModifiedBy/>
  <dcterms:modified xsi:type="dcterms:W3CDTF">2026-07-29T23:55:51Z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